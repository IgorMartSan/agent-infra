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Métricas" sheetId="2" state="visible" r:id="rId2"/>
    <sheet name="Resumo" sheetId="3" state="visible" r:id="rId3"/>
  </sheets>
  <definedNames>
    <definedName name="_xlnm._FilterDatabase" localSheetId="0" hidden="1">'Casos'!$A$1:$D$3</definedName>
    <definedName name="_xlnm._FilterDatabase" localSheetId="1" hidden="1">'Métricas'!$A$1:$Q$1</definedName>
    <definedName name="_xlnm._FilterDatabase" localSheetId="2" hidden="1">'Resumo'!$A$1:$B$12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70" customWidth="1" min="3" max="3"/>
    <col width="16" customWidth="1" min="4" max="4"/>
  </cols>
  <sheetData>
    <row r="1" ht="32" customHeight="1">
      <c r="A1" s="1" t="inlineStr">
        <is>
          <t>id</t>
        </is>
      </c>
      <c r="B1" s="1" t="inlineStr">
        <is>
          <t>question</t>
        </is>
      </c>
      <c r="C1" s="1" t="inlineStr">
        <is>
          <t>reference</t>
        </is>
      </c>
      <c r="D1" s="1" t="inlineStr">
        <is>
          <t>mode</t>
        </is>
      </c>
    </row>
    <row r="2">
      <c r="A2" s="2" t="inlineStr">
        <is>
          <t>repete-mensagem</t>
        </is>
      </c>
      <c r="B2" s="2" t="inlineStr">
        <is>
          <t>Olá</t>
        </is>
      </c>
      <c r="C2" s="2" t="inlineStr">
        <is>
          <t>Eu recebi a mensagem: Olá</t>
        </is>
      </c>
      <c r="D2" s="2" t="inlineStr">
        <is>
          <t>contains</t>
        </is>
      </c>
    </row>
    <row r="3">
      <c r="A3" s="2" t="inlineStr">
        <is>
          <t>equivalencia-de-sentido</t>
        </is>
      </c>
      <c r="B3" s="2" t="inlineStr">
        <is>
          <t>Bom dia</t>
        </is>
      </c>
      <c r="C3" s="2" t="inlineStr">
        <is>
          <t>O Simple Agent se apresenta e confirma que recebeu a mensagem Bom dia.</t>
        </is>
      </c>
      <c r="D3" s="2" t="inlineStr">
        <is>
          <t>semantic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50" customWidth="1" min="4" max="4"/>
    <col width="60" customWidth="1" min="5" max="5"/>
    <col width="70" customWidth="1" min="6" max="6"/>
    <col width="15" customWidth="1" min="7" max="7"/>
    <col width="18" customWidth="1" min="8" max="8"/>
    <col width="16" customWidth="1" min="9" max="9"/>
    <col width="16" customWidth="1" min="10" max="10"/>
    <col width="22" customWidth="1" min="11" max="11"/>
    <col width="12" customWidth="1" min="12" max="12"/>
    <col width="14" customWidth="1" min="13" max="13"/>
    <col width="18" customWidth="1" min="14" max="14"/>
    <col width="55" customWidth="1" min="15" max="15"/>
    <col width="55" customWidth="1" min="16" max="16"/>
    <col width="55" customWidth="1" min="17" max="17"/>
  </cols>
  <sheetData>
    <row r="1" ht="32" customHeight="1">
      <c r="A1" s="1" t="inlineStr">
        <is>
          <t>id</t>
        </is>
      </c>
      <c r="B1" s="1" t="inlineStr">
        <is>
          <t>executado_em_utc</t>
        </is>
      </c>
      <c r="C1" s="1" t="inlineStr">
        <is>
          <t>status</t>
        </is>
      </c>
      <c r="D1" s="1" t="inlineStr">
        <is>
          <t>pergunta</t>
        </is>
      </c>
      <c r="E1" s="1" t="inlineStr">
        <is>
          <t>referencia</t>
        </is>
      </c>
      <c r="F1" s="1" t="inlineStr">
        <is>
          <t>resposta</t>
        </is>
      </c>
      <c r="G1" s="1" t="inlineStr">
        <is>
          <t>modo</t>
        </is>
      </c>
      <c r="H1" s="1" t="inlineStr">
        <is>
          <t>correcao_factual</t>
        </is>
      </c>
      <c r="I1" s="1" t="inlineStr">
        <is>
          <t>completude</t>
        </is>
      </c>
      <c r="J1" s="1" t="inlineStr">
        <is>
          <t>relevancia</t>
        </is>
      </c>
      <c r="K1" s="1" t="inlineStr">
        <is>
          <t>aderencia_instrucoes</t>
        </is>
      </c>
      <c r="L1" s="1" t="inlineStr">
        <is>
          <t>clareza</t>
        </is>
      </c>
      <c r="M1" s="1" t="inlineStr">
        <is>
          <t>nota_media</t>
        </is>
      </c>
      <c r="N1" s="1" t="inlineStr">
        <is>
          <t>tempo_segundos</t>
        </is>
      </c>
      <c r="O1" s="1" t="inlineStr">
        <is>
          <t>motivo</t>
        </is>
      </c>
      <c r="P1" s="1" t="inlineStr">
        <is>
          <t>sugestao_correcao</t>
        </is>
      </c>
      <c r="Q1" s="1" t="inlineStr">
        <is>
          <t>erro</t>
        </is>
      </c>
    </row>
    <row r="2">
      <c r="A2" s="2" t="inlineStr">
        <is>
          <t>repete-mensagem</t>
        </is>
      </c>
      <c r="B2" s="2" t="inlineStr">
        <is>
          <t>2026-09-25 18:29:45</t>
        </is>
      </c>
      <c r="C2" s="2" t="inlineStr">
        <is>
          <t>APROVADO</t>
        </is>
      </c>
      <c r="D2" s="2" t="inlineStr">
        <is>
          <t>Olá</t>
        </is>
      </c>
      <c r="E2" s="2" t="inlineStr">
        <is>
          <t>Eu recebi a mensagem: Olá</t>
        </is>
      </c>
      <c r="F2" s="2" t="inlineStr">
        <is>
          <t>Eu sou o Simple Agent.
Sou um agente simples criado para testar o funcionamento do LangGraph.
Minha função atual é receber uma mensagem do usuário e retornar essa mesma
mensagem informando que ela foi recebida.
Eu recebi a mensagem: Olá</t>
        </is>
      </c>
      <c r="G2" s="2" t="inlineStr">
        <is>
          <t>contains</t>
        </is>
      </c>
      <c r="H2" s="2" t="n">
        <v>1</v>
      </c>
      <c r="I2" s="2" t="n">
        <v>1</v>
      </c>
      <c r="J2" s="2" t="n">
        <v>2</v>
      </c>
      <c r="K2" s="2" t="n">
        <v>1</v>
      </c>
      <c r="L2" s="2" t="n">
        <v>4</v>
      </c>
      <c r="M2" s="2">
        <f>IF(COUNT(H2:L2)=0,"",AVERAGE(H2:L2))</f>
        <v/>
      </c>
      <c r="N2" s="2" t="n">
        <v>1.025</v>
      </c>
      <c r="O2" s="2" t="inlineStr">
        <is>
          <t>A resposta do agente não corresponde ao que a resposta de referência indica que deveria ser o resultado esperado (receber e retornar a mensagem recebida).</t>
        </is>
      </c>
      <c r="P2" s="2" t="inlineStr">
        <is>
          <t>A resposta do agente deve ser apenas 'Eu recebi a mensagem: Olá', como na resposta de referência.</t>
        </is>
      </c>
      <c r="Q2" s="2" t="inlineStr"/>
    </row>
    <row r="3">
      <c r="A3" s="2" t="inlineStr">
        <is>
          <t>equivalencia-de-sentido</t>
        </is>
      </c>
      <c r="B3" s="2" t="inlineStr">
        <is>
          <t>2026-09-25 18:29:46</t>
        </is>
      </c>
      <c r="C3" s="2" t="inlineStr">
        <is>
          <t>REPROVADO</t>
        </is>
      </c>
      <c r="D3" s="2" t="inlineStr">
        <is>
          <t>Bom dia</t>
        </is>
      </c>
      <c r="E3" s="2" t="inlineStr">
        <is>
          <t>O Simple Agent se apresenta e confirma que recebeu a mensagem Bom dia.</t>
        </is>
      </c>
      <c r="F3" s="2" t="inlineStr">
        <is>
          <t>Eu sou o Simple Agent.
Sou um agente simples criado para testar o funcionamento do LangGraph.
Minha função atual é receber uma mensagem do usuário e retornar essa mesma
mensagem informando que ela foi recebida.
Eu recebi a mensagem: Bom dia</t>
        </is>
      </c>
      <c r="G3" s="2" t="inlineStr">
        <is>
          <t>semantic</t>
        </is>
      </c>
      <c r="H3" s="2" t="n">
        <v>4</v>
      </c>
      <c r="I3" s="2" t="n">
        <v>3</v>
      </c>
      <c r="J3" s="2" t="n">
        <v>5</v>
      </c>
      <c r="K3" s="2" t="n">
        <v>3</v>
      </c>
      <c r="L3" s="2" t="n">
        <v>4</v>
      </c>
      <c r="M3" s="2">
        <f>IF(COUNT(H3:L3)=0,"",AVERAGE(H3:L3))</f>
        <v/>
      </c>
      <c r="N3" s="2" t="n">
        <v>1.128</v>
      </c>
      <c r="O3" s="2" t="inlineStr">
        <is>
          <t>A resposta do agente não confirma explicitamente o recebimento da mensagem 'Bom dia' no formato esperado pela referência, embora mencione ter recebido a mensagem.</t>
        </is>
      </c>
      <c r="P3" s="2" t="inlineStr">
        <is>
          <t>A resposta deve ser mais direta, como 'Recebi a mensagem Bom dia.' ou uma variação que confirme o recebimento de 'Bom dia' de forma clara, conforme o objetivo do agente.</t>
        </is>
      </c>
      <c r="Q3" s="2" t="inlineStr"/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32" customHeight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executados</t>
        </is>
      </c>
      <c r="B2">
        <f>COUNTA('Métricas'!A2:A1048576)</f>
        <v/>
      </c>
    </row>
    <row r="3">
      <c r="A3" t="inlineStr">
        <is>
          <t>Aprovados</t>
        </is>
      </c>
      <c r="B3">
        <f>COUNTIF('Métricas'!C2:C1048576,"APROVADO")</f>
        <v/>
      </c>
    </row>
    <row r="4">
      <c r="A4" t="inlineStr">
        <is>
          <t>Reprovados</t>
        </is>
      </c>
      <c r="B4">
        <f>COUNTIF('Métricas'!C2:C1048576,"REPROVADO")</f>
        <v/>
      </c>
    </row>
    <row r="5">
      <c r="A5" t="inlineStr">
        <is>
          <t>Erros</t>
        </is>
      </c>
      <c r="B5">
        <f>COUNTIF('Métricas'!C2:C1048576,"ERRO")</f>
        <v/>
      </c>
    </row>
    <row r="6">
      <c r="A6" t="inlineStr">
        <is>
          <t>Taxa de aprovação</t>
        </is>
      </c>
      <c r="B6" s="3">
        <f>IFERROR(B3/B2,0)</f>
        <v/>
      </c>
    </row>
    <row r="7">
      <c r="A7" t="inlineStr">
        <is>
          <t>Média correcao_factual</t>
        </is>
      </c>
      <c r="B7">
        <f>IFERROR(AVERAGE('Métricas'!H2:H1048576),0)</f>
        <v/>
      </c>
    </row>
    <row r="8">
      <c r="A8" t="inlineStr">
        <is>
          <t>Média completude</t>
        </is>
      </c>
      <c r="B8">
        <f>IFERROR(AVERAGE('Métricas'!I2:I1048576),0)</f>
        <v/>
      </c>
    </row>
    <row r="9">
      <c r="A9" t="inlineStr">
        <is>
          <t>Média relevancia</t>
        </is>
      </c>
      <c r="B9">
        <f>IFERROR(AVERAGE('Métricas'!J2:J1048576),0)</f>
        <v/>
      </c>
    </row>
    <row r="10">
      <c r="A10" t="inlineStr">
        <is>
          <t>Média aderencia_instrucoes</t>
        </is>
      </c>
      <c r="B10">
        <f>IFERROR(AVERAGE('Métricas'!K2:K1048576),0)</f>
        <v/>
      </c>
    </row>
    <row r="11">
      <c r="A11" t="inlineStr">
        <is>
          <t>Média clareza</t>
        </is>
      </c>
      <c r="B11">
        <f>IFERROR(AVERAGE('Métricas'!L2:L1048576),0)</f>
        <v/>
      </c>
    </row>
    <row r="12">
      <c r="A12" t="inlineStr">
        <is>
          <t>Tempo médio (s)</t>
        </is>
      </c>
      <c r="B12">
        <f>IFERROR(AVERAGE('Métricas'!N2:N1048576),0)</f>
        <v/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2026-09-25T18:03:19Z</dcterms:created>
  <dcterms:modified xsi:type="dcterms:W3CDTF">2026-09-25T18:29:46Z</dcterms:modified>
</cp:coreProperties>
</file>